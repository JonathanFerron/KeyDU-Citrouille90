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:\My Drive\Mech Keyboard\chocolino\drawings\"/>
    </mc:Choice>
  </mc:AlternateContent>
  <xr:revisionPtr revIDLastSave="0" documentId="13_ncr:1_{4631AD28-3CBF-4C8E-B157-67B7EF88C7E8}" xr6:coauthVersionLast="47" xr6:coauthVersionMax="47" xr10:uidLastSave="{00000000-0000-0000-0000-000000000000}"/>
  <bookViews>
    <workbookView xWindow="38280" yWindow="-120" windowWidth="38640" windowHeight="21840" activeTab="3" xr2:uid="{00000000-000D-0000-FFFF-FFFF00000000}"/>
  </bookViews>
  <sheets>
    <sheet name="main" sheetId="1" r:id="rId1"/>
    <sheet name="home end pgup pgdn" sheetId="2" r:id="rId2"/>
    <sheet name="arrows" sheetId="3" r:id="rId3"/>
    <sheet name="nump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4" l="1"/>
  <c r="N22" i="4" s="1"/>
  <c r="N18" i="4"/>
  <c r="N21" i="4" s="1"/>
  <c r="K19" i="4"/>
  <c r="K22" i="4" s="1"/>
  <c r="K18" i="4"/>
  <c r="K21" i="4" s="1"/>
  <c r="N13" i="4"/>
  <c r="N10" i="4" s="1"/>
  <c r="N12" i="4"/>
  <c r="N9" i="4"/>
  <c r="K13" i="4"/>
  <c r="K10" i="4" s="1"/>
  <c r="K12" i="4"/>
  <c r="K9" i="4" s="1"/>
  <c r="N16" i="4"/>
  <c r="N15" i="4"/>
  <c r="K16" i="4"/>
  <c r="K15" i="4"/>
  <c r="H16" i="4"/>
  <c r="H13" i="4" s="1"/>
  <c r="H10" i="4" s="1"/>
  <c r="H15" i="4"/>
  <c r="E19" i="4"/>
  <c r="H12" i="4"/>
  <c r="H9" i="4" s="1"/>
  <c r="N2" i="4"/>
  <c r="N4" i="4" s="1"/>
  <c r="K2" i="4"/>
  <c r="K3" i="4" s="1"/>
  <c r="E18" i="4"/>
  <c r="E10" i="4"/>
  <c r="E9" i="4"/>
  <c r="B4" i="4"/>
  <c r="B13" i="4" s="1"/>
  <c r="B3" i="4"/>
  <c r="B12" i="4" s="1"/>
  <c r="H2" i="4"/>
  <c r="N2" i="3"/>
  <c r="N3" i="3" s="1"/>
  <c r="N15" i="3" s="1"/>
  <c r="T14" i="3"/>
  <c r="T15" i="3"/>
  <c r="Q12" i="3"/>
  <c r="Q11" i="3"/>
  <c r="B4" i="3"/>
  <c r="B13" i="3" s="1"/>
  <c r="B3" i="3"/>
  <c r="B9" i="3" s="1"/>
  <c r="T2" i="3"/>
  <c r="T4" i="3" s="1"/>
  <c r="T18" i="2"/>
  <c r="T17" i="2"/>
  <c r="Q17" i="2"/>
  <c r="T15" i="2"/>
  <c r="B4" i="2"/>
  <c r="B10" i="2" s="1"/>
  <c r="B3" i="2"/>
  <c r="T2" i="2"/>
  <c r="K21" i="1"/>
  <c r="K20" i="1"/>
  <c r="H21" i="1"/>
  <c r="H20" i="1"/>
  <c r="E21" i="1"/>
  <c r="E20" i="1"/>
  <c r="E15" i="1"/>
  <c r="E12" i="1" s="1"/>
  <c r="E9" i="1" s="1"/>
  <c r="E14" i="1"/>
  <c r="H15" i="1"/>
  <c r="H12" i="1" s="1"/>
  <c r="H9" i="1" s="1"/>
  <c r="H14" i="1"/>
  <c r="H11" i="1" s="1"/>
  <c r="H8" i="1" s="1"/>
  <c r="K15" i="1"/>
  <c r="K18" i="1" s="1"/>
  <c r="K14" i="1"/>
  <c r="K17" i="1" s="1"/>
  <c r="N14" i="1"/>
  <c r="N15" i="1"/>
  <c r="N12" i="1" s="1"/>
  <c r="N9" i="1" s="1"/>
  <c r="E4" i="1"/>
  <c r="E3" i="1"/>
  <c r="H4" i="1"/>
  <c r="H3" i="1"/>
  <c r="K4" i="1"/>
  <c r="K3" i="1"/>
  <c r="N4" i="1"/>
  <c r="N3" i="1"/>
  <c r="T4" i="1"/>
  <c r="T3" i="1"/>
  <c r="T15" i="1" s="1"/>
  <c r="E18" i="1"/>
  <c r="E17" i="1"/>
  <c r="E11" i="1"/>
  <c r="E8" i="1" s="1"/>
  <c r="H18" i="1"/>
  <c r="H17" i="1"/>
  <c r="E2" i="1"/>
  <c r="H2" i="1"/>
  <c r="T2" i="1"/>
  <c r="K2" i="1"/>
  <c r="N2" i="1"/>
  <c r="B3" i="1"/>
  <c r="B4" i="1"/>
  <c r="H19" i="4" l="1"/>
  <c r="H22" i="4" s="1"/>
  <c r="H18" i="4"/>
  <c r="H21" i="4" s="1"/>
  <c r="N3" i="4"/>
  <c r="K4" i="4"/>
  <c r="H4" i="4"/>
  <c r="H3" i="4"/>
  <c r="B9" i="4"/>
  <c r="E12" i="4" s="1"/>
  <c r="B10" i="4"/>
  <c r="E13" i="4" s="1"/>
  <c r="N4" i="3"/>
  <c r="N14" i="3" s="1"/>
  <c r="T3" i="3"/>
  <c r="B10" i="3"/>
  <c r="B12" i="3"/>
  <c r="T4" i="2"/>
  <c r="Q18" i="2"/>
  <c r="B12" i="2"/>
  <c r="B9" i="2"/>
  <c r="T3" i="2"/>
  <c r="B13" i="2"/>
  <c r="K11" i="1"/>
  <c r="K8" i="1" s="1"/>
  <c r="K12" i="1"/>
  <c r="K9" i="1" s="1"/>
  <c r="N17" i="1"/>
  <c r="N18" i="1"/>
  <c r="T18" i="1"/>
  <c r="T12" i="1"/>
  <c r="T9" i="1" s="1"/>
  <c r="N11" i="1"/>
  <c r="N8" i="1" s="1"/>
  <c r="B9" i="1"/>
  <c r="B10" i="1"/>
  <c r="B12" i="1"/>
  <c r="B13" i="1"/>
  <c r="T14" i="1" s="1"/>
  <c r="T14" i="2" l="1"/>
  <c r="T11" i="1"/>
  <c r="T8" i="1" s="1"/>
  <c r="T17" i="1"/>
  <c r="Q18" i="1"/>
  <c r="Q12" i="1"/>
  <c r="Q9" i="1" s="1"/>
  <c r="Q17" i="1"/>
  <c r="Q11" i="1"/>
  <c r="Q8" i="1" s="1"/>
</calcChain>
</file>

<file path=xl/sharedStrings.xml><?xml version="1.0" encoding="utf-8"?>
<sst xmlns="http://schemas.openxmlformats.org/spreadsheetml/2006/main" count="178" uniqueCount="15">
  <si>
    <t>sin theta</t>
  </si>
  <si>
    <t>cos theta</t>
  </si>
  <si>
    <t>theta</t>
  </si>
  <si>
    <t>s</t>
  </si>
  <si>
    <t>dh</t>
  </si>
  <si>
    <t>dw</t>
  </si>
  <si>
    <t>x</t>
  </si>
  <si>
    <t>y</t>
  </si>
  <si>
    <t>dh * sin theta</t>
  </si>
  <si>
    <t>dh * cos theta</t>
  </si>
  <si>
    <t>dw * sin theta</t>
  </si>
  <si>
    <t>dw * cos theta</t>
  </si>
  <si>
    <t>b</t>
  </si>
  <si>
    <t>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</si>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</sst>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4" fontId="0" fillId="3" borderId="0" xfId="0" applyNumberFormat="1" applyFill="1"/>
    <xf numFmtId="2" fontId="0" fillId="3" borderId="0" xfId="0" applyNumberFormat="1" applyFill="1"/>
    <xf numFmtId="4" fontId="0" fillId="0" borderId="0" xfId="0" applyNumberFormat="1" applyFill="1"/>
    <xf numFmtId="4" fontId="1" fillId="3" borderId="0" xfId="0" applyNumberFormat="1" applyFont="1" applyFill="1"/>
    <xf numFmtId="4" fontId="1" fillId="0" borderId="0" xfId="0" applyNumberFormat="1" applyFont="1" applyFill="1"/>
    <xf numFmtId="0" fontId="0" fillId="4" borderId="0" xfId="0" applyFill="1"/>
    <xf numFmtId="4" fontId="0" fillId="4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zoomScale="145" zoomScaleNormal="145" workbookViewId="0">
      <selection activeCell="H8" sqref="H8"/>
    </sheetView>
  </sheetViews>
  <sheetFormatPr defaultRowHeight="15" x14ac:dyDescent="0.25"/>
  <cols>
    <col min="1" max="1" width="12.85546875" bestFit="1" customWidth="1"/>
    <col min="4" max="4" width="6.7109375" customWidth="1"/>
    <col min="5" max="5" width="7.42578125" bestFit="1" customWidth="1"/>
    <col min="7" max="7" width="6.7109375" customWidth="1"/>
    <col min="8" max="8" width="7.42578125" bestFit="1" customWidth="1"/>
    <col min="10" max="11" width="6.7109375" customWidth="1"/>
    <col min="13" max="14" width="6.7109375" customWidth="1"/>
    <col min="16" max="17" width="6.7109375" customWidth="1"/>
    <col min="19" max="20" width="6.7109375" customWidth="1"/>
  </cols>
  <sheetData>
    <row r="1" spans="1:20" x14ac:dyDescent="0.25">
      <c r="D1" t="s">
        <v>14</v>
      </c>
      <c r="E1">
        <v>-18</v>
      </c>
      <c r="H1">
        <v>-12</v>
      </c>
      <c r="K1">
        <v>0</v>
      </c>
      <c r="N1">
        <v>4</v>
      </c>
      <c r="Q1">
        <v>0</v>
      </c>
      <c r="T1">
        <v>-6</v>
      </c>
    </row>
    <row r="2" spans="1:20" x14ac:dyDescent="0.25">
      <c r="A2" t="s">
        <v>2</v>
      </c>
      <c r="B2">
        <v>14</v>
      </c>
      <c r="D2" t="s">
        <v>3</v>
      </c>
      <c r="E2">
        <f>E1-H1</f>
        <v>-6</v>
      </c>
      <c r="G2" t="s">
        <v>3</v>
      </c>
      <c r="H2">
        <f>H1-K1</f>
        <v>-12</v>
      </c>
      <c r="J2" t="s">
        <v>3</v>
      </c>
      <c r="K2">
        <f>K1-N1</f>
        <v>-4</v>
      </c>
      <c r="M2" t="s">
        <v>3</v>
      </c>
      <c r="N2">
        <f>N1-Q1</f>
        <v>4</v>
      </c>
      <c r="S2" t="s">
        <v>3</v>
      </c>
      <c r="T2">
        <f>T1-Q1</f>
        <v>-6</v>
      </c>
    </row>
    <row r="3" spans="1:20" x14ac:dyDescent="0.25">
      <c r="A3" t="s">
        <v>0</v>
      </c>
      <c r="B3" s="1">
        <f>SIN($B$2*PI()/180)</f>
        <v>0.24192189559966773</v>
      </c>
      <c r="D3" t="s">
        <v>12</v>
      </c>
      <c r="E3" s="2">
        <f>E2*$B$4</f>
        <v>-5.8217743576559791</v>
      </c>
      <c r="G3" t="s">
        <v>12</v>
      </c>
      <c r="H3" s="2">
        <f>H2*$B$4</f>
        <v>-11.643548715311958</v>
      </c>
      <c r="J3" t="s">
        <v>12</v>
      </c>
      <c r="K3" s="2">
        <f>K2*$B$4</f>
        <v>-3.8811829051039859</v>
      </c>
      <c r="M3" t="s">
        <v>12</v>
      </c>
      <c r="N3" s="2">
        <f>N2*$B$4</f>
        <v>3.8811829051039859</v>
      </c>
      <c r="S3" t="s">
        <v>12</v>
      </c>
      <c r="T3" s="2">
        <f>T2*$B$4</f>
        <v>-5.8217743576559791</v>
      </c>
    </row>
    <row r="4" spans="1:20" x14ac:dyDescent="0.25">
      <c r="A4" t="s">
        <v>1</v>
      </c>
      <c r="B4" s="1">
        <f>COS($B$2*PI()/180)</f>
        <v>0.97029572627599647</v>
      </c>
      <c r="D4" t="s">
        <v>13</v>
      </c>
      <c r="E4" s="2">
        <f>E2*$B$3</f>
        <v>-1.4515313735980064</v>
      </c>
      <c r="G4" t="s">
        <v>13</v>
      </c>
      <c r="H4" s="2">
        <f>H2*$B$3</f>
        <v>-2.9030627471960129</v>
      </c>
      <c r="J4" t="s">
        <v>13</v>
      </c>
      <c r="K4" s="2">
        <f>K2*$B$3</f>
        <v>-0.96768758239867092</v>
      </c>
      <c r="M4" t="s">
        <v>13</v>
      </c>
      <c r="N4" s="2">
        <f>N2*$B$3</f>
        <v>0.96768758239867092</v>
      </c>
      <c r="S4" t="s">
        <v>13</v>
      </c>
      <c r="T4" s="2">
        <f>T2*$B$3</f>
        <v>-1.4515313735980064</v>
      </c>
    </row>
    <row r="6" spans="1:20" x14ac:dyDescent="0.25">
      <c r="A6" t="s">
        <v>4</v>
      </c>
      <c r="B6">
        <v>17</v>
      </c>
    </row>
    <row r="7" spans="1:20" x14ac:dyDescent="0.25">
      <c r="A7" t="s">
        <v>5</v>
      </c>
      <c r="B7">
        <v>18</v>
      </c>
    </row>
    <row r="8" spans="1:20" x14ac:dyDescent="0.25">
      <c r="D8" t="s">
        <v>6</v>
      </c>
      <c r="E8" s="7">
        <f>E11+$B$9</f>
        <v>-107.99054196227706</v>
      </c>
      <c r="G8" t="s">
        <v>6</v>
      </c>
      <c r="H8" s="7">
        <f>H11+$B$9</f>
        <v>-89.073687515711129</v>
      </c>
      <c r="J8" t="s">
        <v>6</v>
      </c>
      <c r="K8" s="5">
        <f>K11+$B$9</f>
        <v>-68.705301695547178</v>
      </c>
      <c r="M8" t="s">
        <v>6</v>
      </c>
      <c r="N8" s="5">
        <f>N11+$B$9</f>
        <v>-50.272291040180562</v>
      </c>
      <c r="P8" t="s">
        <v>6</v>
      </c>
      <c r="Q8" s="5">
        <f>Q11+$B$9</f>
        <v>-33.774655549611296</v>
      </c>
      <c r="S8" t="s">
        <v>6</v>
      </c>
      <c r="T8" s="5">
        <f>T11+$B$9</f>
        <v>-17.760863850241364</v>
      </c>
    </row>
    <row r="9" spans="1:20" x14ac:dyDescent="0.25">
      <c r="A9" t="s">
        <v>8</v>
      </c>
      <c r="B9">
        <f>$B$6*B3</f>
        <v>4.112672225194351</v>
      </c>
      <c r="D9" t="s">
        <v>7</v>
      </c>
      <c r="E9" s="7">
        <f>E12-$B$10</f>
        <v>-45.243108103592022</v>
      </c>
      <c r="G9" t="s">
        <v>7</v>
      </c>
      <c r="H9" s="7">
        <f>H12-$B$10</f>
        <v>-46.710288340453985</v>
      </c>
      <c r="J9" t="s">
        <v>7</v>
      </c>
      <c r="K9" s="5">
        <f>K12-$B$10</f>
        <v>-53.999242934971917</v>
      </c>
      <c r="M9" t="s">
        <v>7</v>
      </c>
      <c r="N9" s="5">
        <f>N12-$B$10</f>
        <v>-53.525831719281889</v>
      </c>
      <c r="P9" t="s">
        <v>7</v>
      </c>
      <c r="Q9" s="5">
        <f>Q12-$B$10</f>
        <v>-45.29005469338388</v>
      </c>
      <c r="S9" t="s">
        <v>7</v>
      </c>
      <c r="T9" s="5">
        <f>T12-$B$10</f>
        <v>-35.113686214933885</v>
      </c>
    </row>
    <row r="10" spans="1:20" x14ac:dyDescent="0.25">
      <c r="A10" t="s">
        <v>9</v>
      </c>
      <c r="B10">
        <f>B6*B4</f>
        <v>16.495027346691941</v>
      </c>
      <c r="E10" s="7"/>
      <c r="H10" s="7"/>
      <c r="K10" s="7"/>
      <c r="N10" s="7"/>
      <c r="Q10" s="3"/>
      <c r="T10" s="7"/>
    </row>
    <row r="11" spans="1:20" x14ac:dyDescent="0.25">
      <c r="D11" t="s">
        <v>6</v>
      </c>
      <c r="E11" s="7">
        <f>E14+$B$9</f>
        <v>-112.10321418747141</v>
      </c>
      <c r="G11" t="s">
        <v>6</v>
      </c>
      <c r="H11" s="7">
        <f>H14+$B$9</f>
        <v>-93.186359740905473</v>
      </c>
      <c r="J11" t="s">
        <v>6</v>
      </c>
      <c r="K11" s="5">
        <f>K14+$B$9</f>
        <v>-72.817973920741522</v>
      </c>
      <c r="M11" t="s">
        <v>6</v>
      </c>
      <c r="N11" s="5">
        <f>N14+$B$9</f>
        <v>-54.384963265374914</v>
      </c>
      <c r="P11" t="s">
        <v>6</v>
      </c>
      <c r="Q11" s="5">
        <f>Q14+$B$9</f>
        <v>-37.887327774805648</v>
      </c>
      <c r="S11" t="s">
        <v>6</v>
      </c>
      <c r="T11" s="5">
        <f>T14+$B$9</f>
        <v>-21.873536075435716</v>
      </c>
    </row>
    <row r="12" spans="1:20" x14ac:dyDescent="0.25">
      <c r="A12" t="s">
        <v>10</v>
      </c>
      <c r="B12">
        <f>B7*B3</f>
        <v>4.3545941207940189</v>
      </c>
      <c r="D12" t="s">
        <v>7</v>
      </c>
      <c r="E12" s="7">
        <f>E15-$B$10</f>
        <v>-28.74808075690008</v>
      </c>
      <c r="G12" t="s">
        <v>7</v>
      </c>
      <c r="H12" s="7">
        <f>H15-$B$10</f>
        <v>-30.21526099376204</v>
      </c>
      <c r="J12" t="s">
        <v>7</v>
      </c>
      <c r="K12" s="5">
        <f>K15-$B$10</f>
        <v>-37.504215588279976</v>
      </c>
      <c r="M12" t="s">
        <v>7</v>
      </c>
      <c r="N12" s="5">
        <f>N15-$B$10</f>
        <v>-37.030804372589948</v>
      </c>
      <c r="P12" t="s">
        <v>7</v>
      </c>
      <c r="Q12" s="5">
        <f>Q15-$B$10</f>
        <v>-28.795027346691942</v>
      </c>
      <c r="S12" t="s">
        <v>7</v>
      </c>
      <c r="T12" s="5">
        <f>T15-$B$10</f>
        <v>-18.618658868241944</v>
      </c>
    </row>
    <row r="13" spans="1:20" x14ac:dyDescent="0.25">
      <c r="A13" t="s">
        <v>11</v>
      </c>
      <c r="B13">
        <f>B7*B4</f>
        <v>17.465323072967937</v>
      </c>
      <c r="Q13" s="3"/>
    </row>
    <row r="14" spans="1:20" x14ac:dyDescent="0.25">
      <c r="D14" t="s">
        <v>6</v>
      </c>
      <c r="E14" s="9">
        <f>H14-$B$13+E4</f>
        <v>-116.21588641266575</v>
      </c>
      <c r="G14" t="s">
        <v>6</v>
      </c>
      <c r="H14" s="9">
        <f>K14-$B$13+H4</f>
        <v>-97.299031966099818</v>
      </c>
      <c r="J14" t="s">
        <v>6</v>
      </c>
      <c r="K14" s="8">
        <f>N14-$B$13+K4</f>
        <v>-76.930646145935867</v>
      </c>
      <c r="M14" t="s">
        <v>6</v>
      </c>
      <c r="N14" s="8">
        <f>Q14-$B$13+N4</f>
        <v>-58.497635490569266</v>
      </c>
      <c r="P14" t="s">
        <v>6</v>
      </c>
      <c r="Q14" s="4">
        <v>-42</v>
      </c>
      <c r="S14" t="s">
        <v>6</v>
      </c>
      <c r="T14" s="6">
        <f>Q14+B13+T4</f>
        <v>-25.986208300630068</v>
      </c>
    </row>
    <row r="15" spans="1:20" x14ac:dyDescent="0.25">
      <c r="D15" t="s">
        <v>7</v>
      </c>
      <c r="E15" s="9">
        <f>H15-$B$12-E3</f>
        <v>-12.253053410208139</v>
      </c>
      <c r="G15" t="s">
        <v>7</v>
      </c>
      <c r="H15" s="9">
        <f>K15-$B$12-H3</f>
        <v>-13.720233647070099</v>
      </c>
      <c r="J15" t="s">
        <v>7</v>
      </c>
      <c r="K15" s="8">
        <f>N15-$B$12-K3</f>
        <v>-21.009188241588038</v>
      </c>
      <c r="M15" t="s">
        <v>7</v>
      </c>
      <c r="N15" s="8">
        <f>Q15-$B$12-N3</f>
        <v>-20.535777025898007</v>
      </c>
      <c r="P15" t="s">
        <v>7</v>
      </c>
      <c r="Q15" s="4">
        <v>-12.3</v>
      </c>
      <c r="S15" t="s">
        <v>7</v>
      </c>
      <c r="T15" s="6">
        <f>Q15+B12-T3</f>
        <v>-2.1236315215500028</v>
      </c>
    </row>
    <row r="16" spans="1:20" x14ac:dyDescent="0.25">
      <c r="Q16" s="3"/>
    </row>
    <row r="17" spans="4:20" x14ac:dyDescent="0.25">
      <c r="D17" t="s">
        <v>6</v>
      </c>
      <c r="E17" s="7">
        <f>E14-$B$9</f>
        <v>-120.3285586378601</v>
      </c>
      <c r="G17" t="s">
        <v>6</v>
      </c>
      <c r="H17" s="7">
        <f>H14-$B$9</f>
        <v>-101.41170419129416</v>
      </c>
      <c r="J17" t="s">
        <v>6</v>
      </c>
      <c r="K17" s="5">
        <f>K14-$B$9</f>
        <v>-81.043318371130212</v>
      </c>
      <c r="M17" t="s">
        <v>6</v>
      </c>
      <c r="N17" s="5">
        <f>N14-$B$9</f>
        <v>-62.610307715763618</v>
      </c>
      <c r="P17" t="s">
        <v>6</v>
      </c>
      <c r="Q17" s="5">
        <f>Q14-$B$9</f>
        <v>-46.112672225194352</v>
      </c>
      <c r="S17" t="s">
        <v>6</v>
      </c>
      <c r="T17" s="5">
        <f>T14-$B$9</f>
        <v>-30.09888052582442</v>
      </c>
    </row>
    <row r="18" spans="4:20" x14ac:dyDescent="0.25">
      <c r="D18" t="s">
        <v>7</v>
      </c>
      <c r="E18" s="7">
        <f>E15+$B$10</f>
        <v>4.2419739364838023</v>
      </c>
      <c r="G18" t="s">
        <v>7</v>
      </c>
      <c r="H18" s="7">
        <f>H15+$B$10</f>
        <v>2.7747936996218421</v>
      </c>
      <c r="J18" t="s">
        <v>7</v>
      </c>
      <c r="K18" s="5">
        <f>K15+$B$10</f>
        <v>-4.5141608948960972</v>
      </c>
      <c r="M18" t="s">
        <v>7</v>
      </c>
      <c r="N18" s="5">
        <f>N15+$B$10</f>
        <v>-4.0407496792060655</v>
      </c>
      <c r="P18" t="s">
        <v>7</v>
      </c>
      <c r="Q18" s="5">
        <f>Q15+$B$10</f>
        <v>4.1950273466919406</v>
      </c>
      <c r="S18" t="s">
        <v>7</v>
      </c>
      <c r="T18" s="5">
        <f>T15+$B$10</f>
        <v>14.371395825141938</v>
      </c>
    </row>
    <row r="20" spans="4:20" x14ac:dyDescent="0.25">
      <c r="D20" t="s">
        <v>6</v>
      </c>
      <c r="E20" s="7">
        <f>E17-$B$9</f>
        <v>-124.44123086305444</v>
      </c>
      <c r="G20" s="10" t="s">
        <v>6</v>
      </c>
      <c r="H20" s="11">
        <f>E20+$B$13+N4</f>
        <v>-106.00822020768784</v>
      </c>
      <c r="J20" s="10" t="s">
        <v>6</v>
      </c>
      <c r="K20" s="11">
        <f>H20+$B$13+K4</f>
        <v>-89.510584717118576</v>
      </c>
    </row>
    <row r="21" spans="4:20" x14ac:dyDescent="0.25">
      <c r="D21" t="s">
        <v>7</v>
      </c>
      <c r="E21" s="7">
        <f>E18+$B$10</f>
        <v>20.737001283175744</v>
      </c>
      <c r="G21" s="10" t="s">
        <v>7</v>
      </c>
      <c r="H21" s="11">
        <f>E21+$B$12-N3</f>
        <v>21.210412498865775</v>
      </c>
      <c r="J21" s="10" t="s">
        <v>7</v>
      </c>
      <c r="K21" s="11">
        <f>H21+$B$12-K3</f>
        <v>29.446189524763781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EBDB-A92A-4652-A4D8-43F094489D2B}">
  <dimension ref="A1:T18"/>
  <sheetViews>
    <sheetView zoomScale="145" zoomScaleNormal="145" workbookViewId="0">
      <selection activeCell="T17" sqref="T17"/>
    </sheetView>
  </sheetViews>
  <sheetFormatPr defaultRowHeight="15" x14ac:dyDescent="0.25"/>
  <cols>
    <col min="1" max="1" width="12.85546875" bestFit="1" customWidth="1"/>
    <col min="4" max="4" width="6.7109375" customWidth="1"/>
    <col min="5" max="5" width="7.42578125" bestFit="1" customWidth="1"/>
    <col min="7" max="7" width="6.7109375" customWidth="1"/>
    <col min="8" max="8" width="7.42578125" bestFit="1" customWidth="1"/>
    <col min="10" max="11" width="6.7109375" customWidth="1"/>
    <col min="13" max="14" width="6.7109375" customWidth="1"/>
    <col min="16" max="16" width="6.7109375" customWidth="1"/>
    <col min="17" max="17" width="7.42578125" bestFit="1" customWidth="1"/>
    <col min="19" max="19" width="6.7109375" customWidth="1"/>
    <col min="20" max="20" width="7.42578125" bestFit="1" customWidth="1"/>
  </cols>
  <sheetData>
    <row r="1" spans="1:20" x14ac:dyDescent="0.25">
      <c r="Q1">
        <v>0</v>
      </c>
      <c r="T1">
        <v>0</v>
      </c>
    </row>
    <row r="2" spans="1:20" x14ac:dyDescent="0.25">
      <c r="A2" t="s">
        <v>2</v>
      </c>
      <c r="B2">
        <v>4</v>
      </c>
      <c r="S2" t="s">
        <v>3</v>
      </c>
      <c r="T2">
        <f>T1-Q1</f>
        <v>0</v>
      </c>
    </row>
    <row r="3" spans="1:20" x14ac:dyDescent="0.25">
      <c r="A3" t="s">
        <v>0</v>
      </c>
      <c r="B3" s="1">
        <f>SIN($B$2*PI()/180)</f>
        <v>6.9756473744125302E-2</v>
      </c>
      <c r="S3" t="s">
        <v>12</v>
      </c>
      <c r="T3" s="2">
        <f>T2*$B$4</f>
        <v>0</v>
      </c>
    </row>
    <row r="4" spans="1:20" x14ac:dyDescent="0.25">
      <c r="A4" t="s">
        <v>1</v>
      </c>
      <c r="B4" s="1">
        <f>COS($B$2*PI()/180)</f>
        <v>0.9975640502598242</v>
      </c>
      <c r="S4" t="s">
        <v>13</v>
      </c>
      <c r="T4" s="2">
        <f>T2*$B$3</f>
        <v>0</v>
      </c>
    </row>
    <row r="6" spans="1:20" x14ac:dyDescent="0.25">
      <c r="A6" t="s">
        <v>4</v>
      </c>
      <c r="B6">
        <v>17</v>
      </c>
    </row>
    <row r="7" spans="1:20" x14ac:dyDescent="0.25">
      <c r="A7" t="s">
        <v>5</v>
      </c>
      <c r="B7">
        <v>18</v>
      </c>
    </row>
    <row r="9" spans="1:20" x14ac:dyDescent="0.25">
      <c r="A9" t="s">
        <v>8</v>
      </c>
      <c r="B9">
        <f>$B$6*B3</f>
        <v>1.18586005365013</v>
      </c>
    </row>
    <row r="10" spans="1:20" x14ac:dyDescent="0.25">
      <c r="A10" t="s">
        <v>9</v>
      </c>
      <c r="B10">
        <f>B6*B4</f>
        <v>16.958588854417012</v>
      </c>
    </row>
    <row r="12" spans="1:20" x14ac:dyDescent="0.25">
      <c r="A12" t="s">
        <v>10</v>
      </c>
      <c r="B12">
        <f>B7*B3</f>
        <v>1.2556165273942554</v>
      </c>
    </row>
    <row r="13" spans="1:20" x14ac:dyDescent="0.25">
      <c r="A13" t="s">
        <v>11</v>
      </c>
      <c r="B13">
        <f>B7*B4</f>
        <v>17.956152904676834</v>
      </c>
      <c r="Q13" s="3"/>
    </row>
    <row r="14" spans="1:20" x14ac:dyDescent="0.25">
      <c r="P14" t="s">
        <v>6</v>
      </c>
      <c r="Q14" s="4">
        <v>137.69999999999999</v>
      </c>
      <c r="S14" t="s">
        <v>6</v>
      </c>
      <c r="T14" s="6">
        <f>Q14+B13+T4</f>
        <v>155.65615290467682</v>
      </c>
    </row>
    <row r="15" spans="1:20" x14ac:dyDescent="0.25">
      <c r="P15" t="s">
        <v>7</v>
      </c>
      <c r="Q15" s="4">
        <v>-30.24</v>
      </c>
      <c r="S15" t="s">
        <v>7</v>
      </c>
      <c r="T15" s="6">
        <f>Q15-B12-T3</f>
        <v>-31.495616527394255</v>
      </c>
    </row>
    <row r="16" spans="1:20" x14ac:dyDescent="0.25">
      <c r="Q16" s="3"/>
    </row>
    <row r="17" spans="16:20" x14ac:dyDescent="0.25">
      <c r="P17" t="s">
        <v>6</v>
      </c>
      <c r="Q17" s="5">
        <f>Q14+$B$9</f>
        <v>138.88586005365011</v>
      </c>
      <c r="S17" t="s">
        <v>6</v>
      </c>
      <c r="T17" s="5">
        <f>T14+$B$9</f>
        <v>156.84201295832693</v>
      </c>
    </row>
    <row r="18" spans="16:20" x14ac:dyDescent="0.25">
      <c r="P18" t="s">
        <v>7</v>
      </c>
      <c r="Q18" s="5">
        <f>Q15+$B$10</f>
        <v>-13.281411145582986</v>
      </c>
      <c r="S18" t="s">
        <v>7</v>
      </c>
      <c r="T18" s="5">
        <f>T15+$B$10</f>
        <v>-14.537027672977242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0E5F-6D48-4BF3-9327-26096F349DCD}">
  <dimension ref="A1:T16"/>
  <sheetViews>
    <sheetView zoomScale="145" zoomScaleNormal="145" workbookViewId="0">
      <selection activeCell="N15" sqref="N15"/>
    </sheetView>
  </sheetViews>
  <sheetFormatPr defaultRowHeight="15" x14ac:dyDescent="0.25"/>
  <cols>
    <col min="1" max="1" width="12.85546875" bestFit="1" customWidth="1"/>
    <col min="4" max="4" width="6.7109375" customWidth="1"/>
    <col min="5" max="5" width="7.42578125" bestFit="1" customWidth="1"/>
    <col min="7" max="7" width="6.7109375" customWidth="1"/>
    <col min="8" max="8" width="7.42578125" bestFit="1" customWidth="1"/>
    <col min="10" max="11" width="6.7109375" customWidth="1"/>
    <col min="13" max="14" width="6.7109375" customWidth="1"/>
    <col min="16" max="16" width="6.7109375" customWidth="1"/>
    <col min="17" max="17" width="7.42578125" bestFit="1" customWidth="1"/>
    <col min="19" max="19" width="6.7109375" customWidth="1"/>
    <col min="20" max="20" width="7.42578125" bestFit="1" customWidth="1"/>
  </cols>
  <sheetData>
    <row r="1" spans="1:20" x14ac:dyDescent="0.25">
      <c r="N1">
        <v>-4</v>
      </c>
      <c r="Q1">
        <v>0</v>
      </c>
      <c r="T1">
        <v>-4</v>
      </c>
    </row>
    <row r="2" spans="1:20" x14ac:dyDescent="0.25">
      <c r="A2" t="s">
        <v>2</v>
      </c>
      <c r="B2">
        <v>4</v>
      </c>
      <c r="M2" t="s">
        <v>3</v>
      </c>
      <c r="N2">
        <f>N1-Q1</f>
        <v>-4</v>
      </c>
      <c r="S2" t="s">
        <v>3</v>
      </c>
      <c r="T2">
        <f>T1-Q1</f>
        <v>-4</v>
      </c>
    </row>
    <row r="3" spans="1:20" x14ac:dyDescent="0.25">
      <c r="A3" t="s">
        <v>0</v>
      </c>
      <c r="B3" s="1">
        <f>SIN($B$2*PI()/180)</f>
        <v>6.9756473744125302E-2</v>
      </c>
      <c r="M3" t="s">
        <v>12</v>
      </c>
      <c r="N3" s="2">
        <f>N2*$B$4</f>
        <v>-3.9902562010392968</v>
      </c>
      <c r="S3" t="s">
        <v>12</v>
      </c>
      <c r="T3" s="2">
        <f>T2*$B$4</f>
        <v>-3.9902562010392968</v>
      </c>
    </row>
    <row r="4" spans="1:20" x14ac:dyDescent="0.25">
      <c r="A4" t="s">
        <v>1</v>
      </c>
      <c r="B4" s="1">
        <f>COS($B$2*PI()/180)</f>
        <v>0.9975640502598242</v>
      </c>
      <c r="M4" t="s">
        <v>13</v>
      </c>
      <c r="N4" s="2">
        <f>N2*$B$3</f>
        <v>-0.27902589497650121</v>
      </c>
      <c r="S4" t="s">
        <v>13</v>
      </c>
      <c r="T4" s="2">
        <f>T2*$B$3</f>
        <v>-0.27902589497650121</v>
      </c>
    </row>
    <row r="6" spans="1:20" x14ac:dyDescent="0.25">
      <c r="A6" t="s">
        <v>4</v>
      </c>
      <c r="B6">
        <v>17</v>
      </c>
    </row>
    <row r="7" spans="1:20" x14ac:dyDescent="0.25">
      <c r="A7" t="s">
        <v>5</v>
      </c>
      <c r="B7">
        <v>18</v>
      </c>
    </row>
    <row r="9" spans="1:20" x14ac:dyDescent="0.25">
      <c r="A9" t="s">
        <v>8</v>
      </c>
      <c r="B9">
        <f>$B$6*B3</f>
        <v>1.18586005365013</v>
      </c>
    </row>
    <row r="10" spans="1:20" x14ac:dyDescent="0.25">
      <c r="A10" t="s">
        <v>9</v>
      </c>
      <c r="B10">
        <f>B6*B4</f>
        <v>16.958588854417012</v>
      </c>
    </row>
    <row r="11" spans="1:20" x14ac:dyDescent="0.25">
      <c r="P11" t="s">
        <v>6</v>
      </c>
      <c r="Q11" s="5">
        <f>Q14-$B$9</f>
        <v>142.43413994634989</v>
      </c>
    </row>
    <row r="12" spans="1:20" x14ac:dyDescent="0.25">
      <c r="A12" t="s">
        <v>10</v>
      </c>
      <c r="B12">
        <f>B7*B3</f>
        <v>1.2556165273942554</v>
      </c>
      <c r="P12" t="s">
        <v>7</v>
      </c>
      <c r="Q12" s="5">
        <f>Q15-$B$10</f>
        <v>6.391411145582989</v>
      </c>
    </row>
    <row r="13" spans="1:20" x14ac:dyDescent="0.25">
      <c r="A13" t="s">
        <v>11</v>
      </c>
      <c r="B13">
        <f>B7*B4</f>
        <v>17.956152904676834</v>
      </c>
      <c r="Q13" s="3"/>
    </row>
    <row r="14" spans="1:20" x14ac:dyDescent="0.25">
      <c r="M14" t="s">
        <v>6</v>
      </c>
      <c r="N14" s="6">
        <f>Q14-B13-N4</f>
        <v>125.94287299029968</v>
      </c>
      <c r="P14" t="s">
        <v>6</v>
      </c>
      <c r="Q14" s="4">
        <v>143.62</v>
      </c>
      <c r="S14" t="s">
        <v>6</v>
      </c>
      <c r="T14" s="6">
        <f>Q14+B13-T4</f>
        <v>161.85517879965334</v>
      </c>
    </row>
    <row r="15" spans="1:20" x14ac:dyDescent="0.25">
      <c r="M15" t="s">
        <v>7</v>
      </c>
      <c r="N15" s="6">
        <f>Q15+B12-N3</f>
        <v>28.595872728433555</v>
      </c>
      <c r="P15" t="s">
        <v>7</v>
      </c>
      <c r="Q15" s="4">
        <v>23.35</v>
      </c>
      <c r="S15" t="s">
        <v>7</v>
      </c>
      <c r="T15" s="6">
        <f>Q15-B12-T3</f>
        <v>26.084639673645043</v>
      </c>
    </row>
    <row r="16" spans="1:20" x14ac:dyDescent="0.25">
      <c r="Q16" s="3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ADF4-8E9D-45EB-8595-D1A752D47368}">
  <dimension ref="A1:N22"/>
  <sheetViews>
    <sheetView tabSelected="1" zoomScale="145" zoomScaleNormal="145" workbookViewId="0">
      <selection activeCell="F6" sqref="F6"/>
    </sheetView>
  </sheetViews>
  <sheetFormatPr defaultRowHeight="15" x14ac:dyDescent="0.25"/>
  <cols>
    <col min="1" max="1" width="12.85546875" bestFit="1" customWidth="1"/>
    <col min="4" max="5" width="7.7109375" customWidth="1"/>
    <col min="7" max="8" width="7.7109375" customWidth="1"/>
    <col min="10" max="11" width="7.7109375" customWidth="1"/>
    <col min="13" max="14" width="7.7109375" customWidth="1"/>
  </cols>
  <sheetData>
    <row r="1" spans="1:14" x14ac:dyDescent="0.25">
      <c r="E1">
        <v>0</v>
      </c>
      <c r="H1">
        <v>4</v>
      </c>
      <c r="K1">
        <v>0</v>
      </c>
      <c r="N1">
        <v>-12</v>
      </c>
    </row>
    <row r="2" spans="1:14" x14ac:dyDescent="0.25">
      <c r="A2" t="s">
        <v>2</v>
      </c>
      <c r="B2">
        <v>2</v>
      </c>
      <c r="G2" t="s">
        <v>3</v>
      </c>
      <c r="H2">
        <f>H1-E1</f>
        <v>4</v>
      </c>
      <c r="J2" t="s">
        <v>3</v>
      </c>
      <c r="K2">
        <f>K1-H1</f>
        <v>-4</v>
      </c>
      <c r="M2" t="s">
        <v>3</v>
      </c>
      <c r="N2">
        <f>N1-K1</f>
        <v>-12</v>
      </c>
    </row>
    <row r="3" spans="1:14" x14ac:dyDescent="0.25">
      <c r="A3" t="s">
        <v>0</v>
      </c>
      <c r="B3" s="1">
        <f>SIN($B$2*PI()/180)</f>
        <v>3.4899496702500969E-2</v>
      </c>
      <c r="G3" t="s">
        <v>12</v>
      </c>
      <c r="H3" s="2">
        <f>H2*$B$4</f>
        <v>3.997563308076383</v>
      </c>
      <c r="J3" t="s">
        <v>12</v>
      </c>
      <c r="K3" s="2">
        <f>K2*$B$4</f>
        <v>-3.997563308076383</v>
      </c>
      <c r="M3" t="s">
        <v>12</v>
      </c>
      <c r="N3" s="2">
        <f>N2*$B$4</f>
        <v>-11.992689924229149</v>
      </c>
    </row>
    <row r="4" spans="1:14" x14ac:dyDescent="0.25">
      <c r="A4" t="s">
        <v>1</v>
      </c>
      <c r="B4" s="1">
        <f>COS($B$2*PI()/180)</f>
        <v>0.99939082701909576</v>
      </c>
      <c r="G4" t="s">
        <v>13</v>
      </c>
      <c r="H4" s="2">
        <f>H2*$B$3</f>
        <v>0.13959798681000388</v>
      </c>
      <c r="J4" t="s">
        <v>13</v>
      </c>
      <c r="K4" s="2">
        <f>K2*$B$3</f>
        <v>-0.13959798681000388</v>
      </c>
      <c r="M4" t="s">
        <v>13</v>
      </c>
      <c r="N4" s="2">
        <f>N2*$B$3</f>
        <v>-0.4187939604300116</v>
      </c>
    </row>
    <row r="6" spans="1:14" x14ac:dyDescent="0.25">
      <c r="A6" t="s">
        <v>4</v>
      </c>
      <c r="B6">
        <v>17</v>
      </c>
    </row>
    <row r="7" spans="1:14" x14ac:dyDescent="0.25">
      <c r="A7" t="s">
        <v>5</v>
      </c>
      <c r="B7">
        <v>18</v>
      </c>
    </row>
    <row r="9" spans="1:14" x14ac:dyDescent="0.25">
      <c r="A9" t="s">
        <v>8</v>
      </c>
      <c r="B9">
        <f>$B$6*B3</f>
        <v>0.59329144394251643</v>
      </c>
      <c r="D9" t="s">
        <v>6</v>
      </c>
      <c r="E9" s="7">
        <f>E12-$B$9</f>
        <v>176.84341711211496</v>
      </c>
      <c r="G9" t="s">
        <v>6</v>
      </c>
      <c r="H9" s="7">
        <f>H12-$B$9</f>
        <v>194.69285401164868</v>
      </c>
      <c r="J9" t="s">
        <v>6</v>
      </c>
      <c r="K9" s="7">
        <f>K12-$B$9</f>
        <v>212.8214868848024</v>
      </c>
      <c r="M9" t="s">
        <v>6</v>
      </c>
      <c r="N9" s="7">
        <f>N12-$B$9</f>
        <v>231.22931573157612</v>
      </c>
    </row>
    <row r="10" spans="1:14" x14ac:dyDescent="0.25">
      <c r="A10" t="s">
        <v>9</v>
      </c>
      <c r="B10">
        <f>B6*B4</f>
        <v>16.989644059324629</v>
      </c>
      <c r="D10" t="s">
        <v>7</v>
      </c>
      <c r="E10" s="7">
        <f>E13-$B$10</f>
        <v>-43.699288118649264</v>
      </c>
      <c r="G10" t="s">
        <v>7</v>
      </c>
      <c r="H10" s="7">
        <f>H13-$B$10</f>
        <v>-48.325042367370656</v>
      </c>
      <c r="J10" t="s">
        <v>7</v>
      </c>
      <c r="K10" s="7">
        <f>K13-$B$10</f>
        <v>-44.955669999939289</v>
      </c>
      <c r="M10" t="s">
        <v>7</v>
      </c>
      <c r="N10" s="7">
        <f>N13-$B$10</f>
        <v>-33.591171016355162</v>
      </c>
    </row>
    <row r="12" spans="1:14" x14ac:dyDescent="0.25">
      <c r="A12" t="s">
        <v>10</v>
      </c>
      <c r="B12">
        <f>B7*B3</f>
        <v>0.62819094064501746</v>
      </c>
      <c r="D12" t="s">
        <v>6</v>
      </c>
      <c r="E12" s="7">
        <f>E15-$B$9</f>
        <v>177.43670855605748</v>
      </c>
      <c r="G12" t="s">
        <v>6</v>
      </c>
      <c r="H12" s="7">
        <f>H15-$B$9</f>
        <v>195.2861454555912</v>
      </c>
      <c r="J12" t="s">
        <v>6</v>
      </c>
      <c r="K12" s="7">
        <f>K15-$B$9</f>
        <v>213.41477832874492</v>
      </c>
      <c r="M12" t="s">
        <v>6</v>
      </c>
      <c r="N12" s="7">
        <f>N15-$B$9</f>
        <v>231.82260717551864</v>
      </c>
    </row>
    <row r="13" spans="1:14" x14ac:dyDescent="0.25">
      <c r="A13" t="s">
        <v>11</v>
      </c>
      <c r="B13">
        <f>B7*B4</f>
        <v>17.989034886343724</v>
      </c>
      <c r="D13" t="s">
        <v>7</v>
      </c>
      <c r="E13" s="7">
        <f>E16-$B$10</f>
        <v>-26.709644059324631</v>
      </c>
      <c r="G13" t="s">
        <v>7</v>
      </c>
      <c r="H13" s="7">
        <f>H16-$B$10</f>
        <v>-31.335398308046031</v>
      </c>
      <c r="J13" t="s">
        <v>7</v>
      </c>
      <c r="K13" s="7">
        <f>K16-$B$10</f>
        <v>-27.966025940614664</v>
      </c>
      <c r="M13" t="s">
        <v>7</v>
      </c>
      <c r="N13" s="7">
        <f>N16-$B$10</f>
        <v>-16.601526957030536</v>
      </c>
    </row>
    <row r="14" spans="1:14" x14ac:dyDescent="0.25">
      <c r="E14" s="3"/>
    </row>
    <row r="15" spans="1:14" x14ac:dyDescent="0.25">
      <c r="D15" t="s">
        <v>6</v>
      </c>
      <c r="E15" s="4">
        <v>178.03</v>
      </c>
      <c r="G15" t="s">
        <v>6</v>
      </c>
      <c r="H15" s="12">
        <f>E15+$B$13-H4</f>
        <v>195.87943689953372</v>
      </c>
      <c r="J15" t="s">
        <v>6</v>
      </c>
      <c r="K15" s="12">
        <f>H15+$B$13-K4</f>
        <v>214.00806977268743</v>
      </c>
      <c r="M15" t="s">
        <v>6</v>
      </c>
      <c r="N15" s="12">
        <f>K15+$B$13-N4</f>
        <v>232.41589861946116</v>
      </c>
    </row>
    <row r="16" spans="1:14" x14ac:dyDescent="0.25">
      <c r="D16" t="s">
        <v>7</v>
      </c>
      <c r="E16" s="4">
        <v>-9.7200000000000006</v>
      </c>
      <c r="G16" t="s">
        <v>7</v>
      </c>
      <c r="H16" s="12">
        <f>E16-$B$12-H3</f>
        <v>-14.345754248721402</v>
      </c>
      <c r="J16" t="s">
        <v>7</v>
      </c>
      <c r="K16" s="12">
        <f>H16-$B$12-K3</f>
        <v>-10.976381881290036</v>
      </c>
      <c r="M16" t="s">
        <v>7</v>
      </c>
      <c r="N16" s="12">
        <f>K16-$B$12-N3</f>
        <v>0.38811710229409435</v>
      </c>
    </row>
    <row r="18" spans="4:14" x14ac:dyDescent="0.25">
      <c r="D18" t="s">
        <v>6</v>
      </c>
      <c r="E18" s="3">
        <f>E15+$B$9</f>
        <v>178.62329144394252</v>
      </c>
      <c r="G18" t="s">
        <v>6</v>
      </c>
      <c r="H18" s="3">
        <f>H15+$B$9</f>
        <v>196.47272834347623</v>
      </c>
      <c r="J18" t="s">
        <v>6</v>
      </c>
      <c r="K18" s="3">
        <f>K15+$B$9</f>
        <v>214.60136121662995</v>
      </c>
      <c r="M18" t="s">
        <v>6</v>
      </c>
      <c r="N18" s="3">
        <f>N15+$B$9</f>
        <v>233.00919006340368</v>
      </c>
    </row>
    <row r="19" spans="4:14" x14ac:dyDescent="0.25">
      <c r="D19" t="s">
        <v>7</v>
      </c>
      <c r="E19" s="3">
        <f>E16+$B$10</f>
        <v>7.2696440593246283</v>
      </c>
      <c r="G19" t="s">
        <v>7</v>
      </c>
      <c r="H19" s="3">
        <f>H16+$B$10</f>
        <v>2.6438898106032269</v>
      </c>
      <c r="J19" t="s">
        <v>7</v>
      </c>
      <c r="K19" s="3">
        <f>K16+$B$10</f>
        <v>6.0132621780345925</v>
      </c>
      <c r="M19" t="s">
        <v>7</v>
      </c>
      <c r="N19" s="3">
        <f>N16+$B$10</f>
        <v>17.377761161618722</v>
      </c>
    </row>
    <row r="21" spans="4:14" x14ac:dyDescent="0.25">
      <c r="G21" t="s">
        <v>6</v>
      </c>
      <c r="H21" s="3">
        <f>H18+$B$9</f>
        <v>197.06601978741875</v>
      </c>
      <c r="J21" t="s">
        <v>6</v>
      </c>
      <c r="K21" s="3">
        <f>K18+$B$9</f>
        <v>215.19465266057247</v>
      </c>
      <c r="M21" t="s">
        <v>6</v>
      </c>
      <c r="N21" s="3">
        <f>N18+$B$9</f>
        <v>233.6024815073462</v>
      </c>
    </row>
    <row r="22" spans="4:14" x14ac:dyDescent="0.25">
      <c r="G22" t="s">
        <v>7</v>
      </c>
      <c r="H22" s="3">
        <f>H19+$B$10</f>
        <v>19.633533869927856</v>
      </c>
      <c r="J22" t="s">
        <v>7</v>
      </c>
      <c r="K22" s="3">
        <f>K19+$B$10</f>
        <v>23.00290623735922</v>
      </c>
      <c r="M22" t="s">
        <v>7</v>
      </c>
      <c r="N22" s="3">
        <f>N19+$B$10</f>
        <v>34.367405220943354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home end pgup pgdn</vt:lpstr>
      <vt:lpstr>arrows</vt:lpstr>
      <vt:lpstr>numpad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et Jonathan</dc:creator>
  <cp:lastModifiedBy>Ferron, Jonathan</cp:lastModifiedBy>
  <dcterms:created xsi:type="dcterms:W3CDTF">2024-05-19T13:02:58Z</dcterms:created>
  <dcterms:modified xsi:type="dcterms:W3CDTF">2024-05-24T01:34:09Z</dcterms:modified>
</cp:coreProperties>
</file>